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59E57F7B-AF89-45D9-8176-CB8AF13368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N3" i="1"/>
  <c r="N9" i="1"/>
  <c r="N8" i="1"/>
  <c r="N7" i="1"/>
  <c r="N6" i="1"/>
  <c r="N5" i="1"/>
  <c r="N4" i="1"/>
  <c r="F13" i="1"/>
  <c r="G13" i="1"/>
  <c r="K4" i="1"/>
  <c r="K5" i="1"/>
  <c r="K6" i="1"/>
  <c r="K7" i="1"/>
  <c r="K8" i="1"/>
  <c r="K9" i="1"/>
</calcChain>
</file>

<file path=xl/sharedStrings.xml><?xml version="1.0" encoding="utf-8"?>
<sst xmlns="http://schemas.openxmlformats.org/spreadsheetml/2006/main" count="35" uniqueCount="31">
  <si>
    <t>Info</t>
  </si>
  <si>
    <t>Serviços Feitos</t>
  </si>
  <si>
    <t>Plano Mensal</t>
  </si>
  <si>
    <t>Dia Envio DAS</t>
  </si>
  <si>
    <t>Falta ... Dias</t>
  </si>
  <si>
    <t>Pago?</t>
  </si>
  <si>
    <t>Dia PG Plano</t>
  </si>
  <si>
    <t>Nome:</t>
  </si>
  <si>
    <t>Geraldo de Oliveira Assis</t>
  </si>
  <si>
    <t>Dia</t>
  </si>
  <si>
    <t>Serviço</t>
  </si>
  <si>
    <t>Valor</t>
  </si>
  <si>
    <t>CPF:</t>
  </si>
  <si>
    <t>553.324.120-53</t>
  </si>
  <si>
    <t>Abertura MEI</t>
  </si>
  <si>
    <t>CNPJ:</t>
  </si>
  <si>
    <t>67.000.097/0001-03</t>
  </si>
  <si>
    <t>Contato:</t>
  </si>
  <si>
    <t>(41) 98428-4006</t>
  </si>
  <si>
    <t>Plano Mensal:</t>
  </si>
  <si>
    <t>Sim✅</t>
  </si>
  <si>
    <t>Valor Plano:</t>
  </si>
  <si>
    <t>R$ 80,00</t>
  </si>
  <si>
    <t>Data do acordo Plano:</t>
  </si>
  <si>
    <t>Acesso GovBr</t>
  </si>
  <si>
    <t>Login:</t>
  </si>
  <si>
    <t>Senha:</t>
  </si>
  <si>
    <t>Mi@410863</t>
  </si>
  <si>
    <t>Total:</t>
  </si>
  <si>
    <t>Acesso Sistema_AM</t>
  </si>
  <si>
    <t>Geraldo 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</si>
</sst>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0" fillId="2" borderId="3" xfId="0" applyNumberFormat="1" applyFill="1" applyBorder="1" applyAlignment="1">
      <alignment vertical="center"/>
    </xf>
    <xf numFmtId="14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0" fillId="0" borderId="21" xfId="0" applyNumberFormat="1" applyBorder="1" applyAlignment="1">
      <alignment horizontal="center" wrapText="1"/>
    </xf>
    <xf numFmtId="0" fontId="0" fillId="0" borderId="21" xfId="0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17" fontId="0" fillId="2" borderId="9" xfId="0" applyNumberFormat="1" applyFill="1" applyBorder="1" applyAlignment="1">
      <alignment horizontal="center"/>
    </xf>
  </cellXfs>
  <cellStyles count="1">
    <cellStyle name="Normal" xfId="0" builtinId="0"/>
  </cellStyles>
  <dxfs count="5">
    <dxf>
      <font>
        <b/>
        <i val="0"/>
        <color theme="1" tint="0.499984740745262"/>
      </font>
      <fill>
        <patternFill patternType="solid">
          <bgColor theme="2" tint="-9.9978637043366805E-2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7"/>
  <sheetViews>
    <sheetView tabSelected="1" workbookViewId="0">
      <selection activeCell="J2" sqref="J2:O2"/>
    </sheetView>
  </sheetViews>
  <sheetFormatPr defaultRowHeight="15"/>
  <cols>
    <col min="1" max="1" width="9.140625" style="1"/>
    <col min="2" max="2" width="20.140625" style="1" bestFit="1" customWidth="1"/>
    <col min="3" max="3" width="22.5703125" style="1" bestFit="1" customWidth="1"/>
    <col min="4" max="4" width="9.140625" style="1"/>
    <col min="5" max="5" width="12.5703125" style="1" bestFit="1" customWidth="1"/>
    <col min="6" max="6" width="14" style="1" bestFit="1" customWidth="1"/>
    <col min="7" max="7" width="9.42578125" style="1" bestFit="1" customWidth="1"/>
    <col min="8" max="8" width="12.5703125" style="1" customWidth="1"/>
    <col min="9" max="9" width="13.7109375" style="1" bestFit="1" customWidth="1"/>
    <col min="10" max="10" width="13" style="1" bestFit="1" customWidth="1"/>
    <col min="11" max="11" width="13" style="1" customWidth="1"/>
    <col min="12" max="12" width="8.7109375" style="1" bestFit="1" customWidth="1"/>
    <col min="13" max="13" width="12" style="1" bestFit="1" customWidth="1"/>
    <col min="14" max="14" width="12" style="1" customWidth="1"/>
    <col min="15" max="15" width="8.7109375" style="1" bestFit="1" customWidth="1"/>
    <col min="16" max="16384" width="9.140625" style="1"/>
  </cols>
  <sheetData>
    <row r="2" spans="2:15">
      <c r="B2" s="10" t="s">
        <v>0</v>
      </c>
      <c r="E2" s="11" t="s">
        <v>1</v>
      </c>
      <c r="F2" s="26"/>
      <c r="G2" s="12"/>
      <c r="I2" s="21" t="s">
        <v>2</v>
      </c>
      <c r="J2" s="8" t="s">
        <v>3</v>
      </c>
      <c r="K2" s="8" t="s">
        <v>4</v>
      </c>
      <c r="L2" s="8" t="s">
        <v>5</v>
      </c>
      <c r="M2" s="8" t="s">
        <v>6</v>
      </c>
      <c r="N2" s="8" t="s">
        <v>4</v>
      </c>
      <c r="O2" s="4" t="s">
        <v>5</v>
      </c>
    </row>
    <row r="3" spans="2:15">
      <c r="B3" s="2" t="s">
        <v>7</v>
      </c>
      <c r="C3" s="6" t="s">
        <v>8</v>
      </c>
      <c r="E3" s="3" t="s">
        <v>9</v>
      </c>
      <c r="F3" s="3" t="s">
        <v>10</v>
      </c>
      <c r="G3" s="27" t="s">
        <v>11</v>
      </c>
      <c r="I3" s="42">
        <v>46174</v>
      </c>
      <c r="J3" s="40">
        <v>46181</v>
      </c>
      <c r="K3" s="35">
        <f ca="1">IF(J3-TODAY() &lt; 0, "-", J3-TODAY())</f>
        <v>11</v>
      </c>
      <c r="L3" s="36"/>
      <c r="M3" s="37">
        <v>46183</v>
      </c>
      <c r="N3" s="38">
        <f ca="1">M3-TODAY()</f>
        <v>13</v>
      </c>
      <c r="O3" s="39"/>
    </row>
    <row r="4" spans="2:15">
      <c r="B4" s="2" t="s">
        <v>12</v>
      </c>
      <c r="C4" s="6" t="s">
        <v>13</v>
      </c>
      <c r="E4" s="23">
        <v>46168</v>
      </c>
      <c r="F4" s="14" t="s">
        <v>14</v>
      </c>
      <c r="G4" s="15">
        <v>50</v>
      </c>
      <c r="I4" s="42">
        <v>46204</v>
      </c>
      <c r="J4" s="41">
        <v>46211</v>
      </c>
      <c r="K4" s="30">
        <f t="shared" ref="K4:K9" ca="1" si="0">J4-TODAY()</f>
        <v>41</v>
      </c>
      <c r="L4" s="13"/>
      <c r="M4" s="29">
        <v>46213</v>
      </c>
      <c r="N4" s="30">
        <f t="shared" ref="N4:N9" ca="1" si="1">M4-TODAY()</f>
        <v>43</v>
      </c>
      <c r="O4" s="17"/>
    </row>
    <row r="5" spans="2:15">
      <c r="B5" s="4" t="s">
        <v>15</v>
      </c>
      <c r="C5" s="5" t="s">
        <v>16</v>
      </c>
      <c r="E5" s="16"/>
      <c r="F5" s="24"/>
      <c r="G5" s="17"/>
      <c r="I5" s="42">
        <v>46235</v>
      </c>
      <c r="J5" s="41">
        <v>46242</v>
      </c>
      <c r="K5" s="30">
        <f t="shared" ca="1" si="0"/>
        <v>72</v>
      </c>
      <c r="L5" s="13"/>
      <c r="M5" s="29">
        <v>46244</v>
      </c>
      <c r="N5" s="30">
        <f t="shared" ca="1" si="1"/>
        <v>74</v>
      </c>
      <c r="O5" s="17"/>
    </row>
    <row r="6" spans="2:15">
      <c r="B6" s="4" t="s">
        <v>17</v>
      </c>
      <c r="C6" s="5" t="s">
        <v>18</v>
      </c>
      <c r="E6" s="16"/>
      <c r="F6" s="24"/>
      <c r="G6" s="17"/>
      <c r="I6" s="42">
        <v>46266</v>
      </c>
      <c r="J6" s="41">
        <v>46273</v>
      </c>
      <c r="K6" s="30">
        <f t="shared" ca="1" si="0"/>
        <v>103</v>
      </c>
      <c r="L6" s="13"/>
      <c r="M6" s="29">
        <v>46275</v>
      </c>
      <c r="N6" s="30">
        <f t="shared" ca="1" si="1"/>
        <v>105</v>
      </c>
      <c r="O6" s="17"/>
    </row>
    <row r="7" spans="2:15">
      <c r="B7" s="4" t="s">
        <v>19</v>
      </c>
      <c r="C7" s="5" t="s">
        <v>20</v>
      </c>
      <c r="E7" s="16"/>
      <c r="F7" s="24"/>
      <c r="G7" s="17"/>
      <c r="I7" s="42">
        <v>46296</v>
      </c>
      <c r="J7" s="41">
        <v>46303</v>
      </c>
      <c r="K7" s="30">
        <f t="shared" ca="1" si="0"/>
        <v>133</v>
      </c>
      <c r="L7" s="13"/>
      <c r="M7" s="29">
        <v>46305</v>
      </c>
      <c r="N7" s="30">
        <f t="shared" ca="1" si="1"/>
        <v>135</v>
      </c>
      <c r="O7" s="17"/>
    </row>
    <row r="8" spans="2:15">
      <c r="B8" s="4" t="s">
        <v>21</v>
      </c>
      <c r="C8" s="5" t="s">
        <v>22</v>
      </c>
      <c r="E8" s="16"/>
      <c r="F8" s="24"/>
      <c r="G8" s="17"/>
      <c r="I8" s="43">
        <v>46327</v>
      </c>
      <c r="J8" s="41">
        <v>46334</v>
      </c>
      <c r="K8" s="30">
        <f t="shared" ca="1" si="0"/>
        <v>164</v>
      </c>
      <c r="L8" s="13"/>
      <c r="M8" s="29">
        <v>46336</v>
      </c>
      <c r="N8" s="30">
        <f t="shared" ca="1" si="1"/>
        <v>166</v>
      </c>
      <c r="O8" s="17"/>
    </row>
    <row r="9" spans="2:15">
      <c r="B9" s="4" t="s">
        <v>23</v>
      </c>
      <c r="C9" s="22">
        <v>46168</v>
      </c>
      <c r="E9" s="16"/>
      <c r="F9" s="24"/>
      <c r="G9" s="17"/>
      <c r="I9" s="44">
        <v>46357</v>
      </c>
      <c r="J9" s="31">
        <v>46364</v>
      </c>
      <c r="K9" s="32">
        <f t="shared" ca="1" si="0"/>
        <v>194</v>
      </c>
      <c r="L9" s="33"/>
      <c r="M9" s="34">
        <v>46366</v>
      </c>
      <c r="N9" s="32">
        <f t="shared" ca="1" si="1"/>
        <v>196</v>
      </c>
      <c r="O9" s="18"/>
    </row>
    <row r="10" spans="2:15">
      <c r="E10" s="16"/>
      <c r="F10" s="24"/>
      <c r="G10" s="17"/>
    </row>
    <row r="11" spans="2:15">
      <c r="B11" s="9" t="s">
        <v>24</v>
      </c>
      <c r="C11" s="7"/>
      <c r="E11" s="16"/>
      <c r="F11" s="24"/>
      <c r="G11" s="17"/>
    </row>
    <row r="12" spans="2:15">
      <c r="B12" s="4" t="s">
        <v>25</v>
      </c>
      <c r="C12" s="6">
        <v>55332412053</v>
      </c>
      <c r="E12" s="19"/>
      <c r="F12" s="25"/>
      <c r="G12" s="20"/>
    </row>
    <row r="13" spans="2:15">
      <c r="B13" s="4" t="s">
        <v>26</v>
      </c>
      <c r="C13" s="5" t="s">
        <v>27</v>
      </c>
      <c r="E13" s="4" t="s">
        <v>28</v>
      </c>
      <c r="F13" s="8">
        <f>COUNTA(F4:F12)</f>
        <v>1</v>
      </c>
      <c r="G13" s="28">
        <f>SUM(G4:G12)</f>
        <v>50</v>
      </c>
    </row>
    <row r="15" spans="2:15">
      <c r="B15" s="9" t="s">
        <v>29</v>
      </c>
      <c r="C15" s="7"/>
    </row>
    <row r="16" spans="2:15">
      <c r="B16" s="4" t="s">
        <v>25</v>
      </c>
      <c r="C16" s="6" t="s">
        <v>30</v>
      </c>
    </row>
    <row r="17" spans="2:3">
      <c r="B17" s="4" t="s">
        <v>26</v>
      </c>
      <c r="C17" s="5">
        <v>1234</v>
      </c>
    </row>
  </sheetData>
  <mergeCells count="1">
    <mergeCell ref="E2:G2"/>
  </mergeCells>
  <conditionalFormatting sqref="K3:K9 N3:N9">
    <cfRule type="cellIs" dxfId="4" priority="5" operator="lessThan">
      <formula>10</formula>
    </cfRule>
  </conditionalFormatting>
  <conditionalFormatting sqref="K3:K9 N3:N9">
    <cfRule type="cellIs" dxfId="3" priority="4" operator="greaterThan">
      <formula>10</formula>
    </cfRule>
  </conditionalFormatting>
  <conditionalFormatting sqref="L3:L9 O3:O9">
    <cfRule type="cellIs" dxfId="2" priority="3" operator="equal">
      <formula>"Sim"</formula>
    </cfRule>
  </conditionalFormatting>
  <conditionalFormatting sqref="L3:L9 O3:O9">
    <cfRule type="cellIs" dxfId="1" priority="2" operator="equal">
      <formula>"Não"</formula>
    </cfRule>
  </conditionalFormatting>
  <conditionalFormatting sqref="K3:K9 N3:N9">
    <cfRule type="cellIs" dxfId="0" priority="1" operator="equal">
      <formula>"-"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2026-05-28T11:10:59Z</dcterms:created>
  <dcterms:modified xsi:type="dcterms:W3CDTF">2026-05-28T11:57:02Z</dcterms:modified>
  <cp:category/>
  <cp:contentStatus/>
</cp:coreProperties>
</file>